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652f616cb54532/Υπολογιστής/"/>
    </mc:Choice>
  </mc:AlternateContent>
  <xr:revisionPtr revIDLastSave="0" documentId="8_{482B73B1-C0EF-48AE-A960-E59A5271057A}" xr6:coauthVersionLast="47" xr6:coauthVersionMax="47" xr10:uidLastSave="{00000000-0000-0000-0000-000000000000}"/>
  <bookViews>
    <workbookView xWindow="1035" yWindow="-120" windowWidth="27885" windowHeight="16440" xr2:uid="{85C7DAF3-B992-431A-8F8C-73611B6B93FB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7" i="1" l="1"/>
  <c r="P6" i="1"/>
  <c r="P8" i="1" s="1"/>
  <c r="P4" i="1"/>
  <c r="P3" i="1"/>
  <c r="P5" i="1" s="1"/>
  <c r="P9" i="1" s="1"/>
  <c r="M7" i="1"/>
  <c r="M6" i="1"/>
  <c r="M8" i="1" s="1"/>
  <c r="M4" i="1"/>
  <c r="M3" i="1"/>
  <c r="M5" i="1" s="1"/>
  <c r="M9" i="1" s="1"/>
  <c r="J7" i="1"/>
  <c r="J6" i="1"/>
  <c r="J8" i="1" s="1"/>
  <c r="J4" i="1"/>
  <c r="J3" i="1"/>
  <c r="J5" i="1" s="1"/>
  <c r="J9" i="1" s="1"/>
  <c r="G7" i="1"/>
  <c r="G6" i="1"/>
  <c r="G4" i="1"/>
  <c r="G3" i="1"/>
  <c r="G5" i="1" s="1"/>
  <c r="C8" i="1"/>
  <c r="C5" i="1"/>
  <c r="B8" i="1"/>
  <c r="B5" i="1"/>
  <c r="B9" i="1" s="1"/>
  <c r="D7" i="1"/>
  <c r="D6" i="1"/>
  <c r="D4" i="1"/>
  <c r="D3" i="1"/>
  <c r="D5" i="1" s="1"/>
  <c r="G8" i="1" l="1"/>
  <c r="G9" i="1" s="1"/>
  <c r="C9" i="1"/>
  <c r="D8" i="1"/>
  <c r="D9" i="1" s="1"/>
  <c r="O8" i="1"/>
  <c r="N8" i="1"/>
  <c r="O5" i="1"/>
  <c r="N5" i="1"/>
  <c r="L5" i="1"/>
  <c r="K5" i="1"/>
  <c r="K9" i="1" s="1"/>
  <c r="I5" i="1"/>
  <c r="H5" i="1"/>
  <c r="H9" i="1" s="1"/>
  <c r="F5" i="1"/>
  <c r="F9" i="1" s="1"/>
  <c r="E5" i="1"/>
  <c r="E9" i="1" l="1"/>
  <c r="L9" i="1"/>
  <c r="I9" i="1"/>
  <c r="O9" i="1"/>
  <c r="N9" i="1"/>
</calcChain>
</file>

<file path=xl/sharedStrings.xml><?xml version="1.0" encoding="utf-8"?>
<sst xmlns="http://schemas.openxmlformats.org/spreadsheetml/2006/main" count="23" uniqueCount="11">
  <si>
    <t>Project</t>
  </si>
  <si>
    <t>Flamouria</t>
  </si>
  <si>
    <t>Kali Chitsa</t>
  </si>
  <si>
    <t>Litharoserma</t>
  </si>
  <si>
    <t>TAFF PRIME TOTAL</t>
  </si>
  <si>
    <t>PAP ENERGY TOTAL</t>
  </si>
  <si>
    <t>Production (Kwh)</t>
  </si>
  <si>
    <t>Income (€)</t>
  </si>
  <si>
    <t>GROUP TOTAL</t>
  </si>
  <si>
    <t>EBITDA (€)</t>
  </si>
  <si>
    <t>Kefalaria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</si>
</sst>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0"/>
      <color rgb="FF000000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wrapText="1"/>
    </xf>
    <xf numFmtId="3" fontId="1" fillId="0" borderId="9" xfId="0" applyNumberFormat="1" applyFont="1" applyBorder="1"/>
    <xf numFmtId="3" fontId="3" fillId="0" borderId="1" xfId="0" applyNumberFormat="1" applyFont="1" applyBorder="1" applyAlignment="1">
      <alignment horizontal="right" wrapText="1" readingOrder="1"/>
    </xf>
    <xf numFmtId="3" fontId="3" fillId="0" borderId="11" xfId="0" applyNumberFormat="1" applyFont="1" applyBorder="1" applyAlignment="1">
      <alignment horizontal="right" wrapText="1" readingOrder="1"/>
    </xf>
    <xf numFmtId="3" fontId="3" fillId="0" borderId="2" xfId="0" applyNumberFormat="1" applyFont="1" applyBorder="1" applyAlignment="1">
      <alignment horizontal="right" wrapText="1" readingOrder="1"/>
    </xf>
    <xf numFmtId="3" fontId="1" fillId="0" borderId="10" xfId="0" applyNumberFormat="1" applyFont="1" applyBorder="1"/>
    <xf numFmtId="3" fontId="2" fillId="0" borderId="10" xfId="0" applyNumberFormat="1" applyFont="1" applyBorder="1"/>
    <xf numFmtId="3" fontId="2" fillId="0" borderId="1" xfId="0" applyNumberFormat="1" applyFont="1" applyBorder="1" applyAlignment="1">
      <alignment horizontal="right"/>
    </xf>
    <xf numFmtId="3" fontId="2" fillId="0" borderId="11" xfId="0" applyNumberFormat="1" applyFont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3" fontId="2" fillId="0" borderId="0" xfId="0" applyNumberFormat="1" applyFont="1"/>
    <xf numFmtId="3" fontId="0" fillId="0" borderId="1" xfId="0" applyNumberFormat="1" applyBorder="1" applyAlignment="1">
      <alignment horizontal="right"/>
    </xf>
    <xf numFmtId="3" fontId="0" fillId="0" borderId="11" xfId="0" applyNumberFormat="1" applyBorder="1" applyAlignment="1">
      <alignment horizontal="right"/>
    </xf>
    <xf numFmtId="3" fontId="2" fillId="0" borderId="8" xfId="0" applyNumberFormat="1" applyFont="1" applyBorder="1"/>
    <xf numFmtId="3" fontId="2" fillId="0" borderId="4" xfId="0" applyNumberFormat="1" applyFont="1" applyBorder="1" applyAlignment="1">
      <alignment horizontal="right"/>
    </xf>
    <xf numFmtId="3" fontId="2" fillId="0" borderId="13" xfId="0" applyNumberFormat="1" applyFont="1" applyBorder="1" applyAlignment="1">
      <alignment horizontal="right"/>
    </xf>
    <xf numFmtId="3" fontId="2" fillId="0" borderId="3" xfId="0" applyNumberFormat="1" applyFont="1" applyBorder="1" applyAlignment="1">
      <alignment horizontal="right"/>
    </xf>
    <xf numFmtId="3" fontId="1" fillId="0" borderId="0" xfId="0" applyNumberFormat="1" applyFont="1"/>
    <xf numFmtId="3" fontId="1" fillId="0" borderId="1" xfId="0" applyNumberFormat="1" applyFont="1" applyBorder="1" applyAlignment="1">
      <alignment horizontal="center" wrapText="1"/>
    </xf>
    <xf numFmtId="3" fontId="1" fillId="0" borderId="11" xfId="0" applyNumberFormat="1" applyFont="1" applyBorder="1" applyAlignment="1">
      <alignment horizontal="center" wrapText="1"/>
    </xf>
    <xf numFmtId="3" fontId="1" fillId="0" borderId="2" xfId="0" applyNumberFormat="1" applyFont="1" applyBorder="1" applyAlignment="1">
      <alignment horizontal="center" wrapText="1"/>
    </xf>
    <xf numFmtId="3" fontId="1" fillId="0" borderId="5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/>
    </xf>
    <xf numFmtId="1" fontId="1" fillId="0" borderId="12" xfId="0" applyNumberFormat="1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FF68-5D69-4B5A-8159-78541D8431B1}">
  <dimension ref="A1:P10"/>
  <sheetViews>
    <sheetView tabSelected="1" workbookViewId="0">
      <selection activeCell="Q33" sqref="Q33"/>
    </sheetView>
  </sheetViews>
  <sheetFormatPr defaultColWidth="8.85546875" defaultRowHeight="15" x14ac:dyDescent="0.25"/>
  <cols>
    <col min="1" max="1" width="17.85546875" style="19" bestFit="1" customWidth="1"/>
    <col min="2" max="2" width="10.7109375" style="1" customWidth="1"/>
    <col min="3" max="3" width="8.85546875" style="1" customWidth="1"/>
    <col min="4" max="4" width="10" style="1" customWidth="1"/>
    <col min="5" max="5" width="11.140625" style="1" bestFit="1" customWidth="1"/>
    <col min="6" max="6" width="10.140625" style="1" bestFit="1" customWidth="1"/>
    <col min="7" max="7" width="10" style="1" customWidth="1"/>
    <col min="8" max="8" width="11.140625" style="1" bestFit="1" customWidth="1"/>
    <col min="9" max="9" width="10.140625" style="1" bestFit="1" customWidth="1"/>
    <col min="10" max="10" width="10" style="1" customWidth="1"/>
    <col min="11" max="11" width="11.140625" style="1" bestFit="1" customWidth="1"/>
    <col min="12" max="12" width="10.140625" style="1" bestFit="1" customWidth="1"/>
    <col min="13" max="13" width="10" style="1" customWidth="1"/>
    <col min="14" max="14" width="11.140625" style="1" bestFit="1" customWidth="1"/>
    <col min="15" max="15" width="10.140625" style="1" bestFit="1" customWidth="1"/>
    <col min="16" max="16" width="10" style="1" customWidth="1"/>
    <col min="17" max="16384" width="8.85546875" style="1"/>
  </cols>
  <sheetData>
    <row r="1" spans="1:16" ht="15.75" thickTop="1" x14ac:dyDescent="0.25">
      <c r="A1" s="23" t="s">
        <v>0</v>
      </c>
      <c r="B1" s="25">
        <v>2021</v>
      </c>
      <c r="C1" s="26"/>
      <c r="D1" s="27"/>
      <c r="E1" s="25">
        <v>2022</v>
      </c>
      <c r="F1" s="26"/>
      <c r="G1" s="27"/>
      <c r="H1" s="25">
        <v>2023</v>
      </c>
      <c r="I1" s="26"/>
      <c r="J1" s="27"/>
      <c r="K1" s="25">
        <v>2024</v>
      </c>
      <c r="L1" s="26"/>
      <c r="M1" s="27"/>
      <c r="N1" s="25">
        <v>2025</v>
      </c>
      <c r="O1" s="26"/>
      <c r="P1" s="27"/>
    </row>
    <row r="2" spans="1:16" s="2" customFormat="1" ht="36.6" customHeight="1" thickBot="1" x14ac:dyDescent="0.3">
      <c r="A2" s="24"/>
      <c r="B2" s="20" t="s">
        <v>6</v>
      </c>
      <c r="C2" s="21" t="s">
        <v>7</v>
      </c>
      <c r="D2" s="22" t="s">
        <v>9</v>
      </c>
      <c r="E2" s="20" t="s">
        <v>6</v>
      </c>
      <c r="F2" s="21" t="s">
        <v>7</v>
      </c>
      <c r="G2" s="22" t="s">
        <v>9</v>
      </c>
      <c r="H2" s="20" t="s">
        <v>6</v>
      </c>
      <c r="I2" s="21" t="s">
        <v>7</v>
      </c>
      <c r="J2" s="22" t="s">
        <v>9</v>
      </c>
      <c r="K2" s="20" t="s">
        <v>6</v>
      </c>
      <c r="L2" s="21" t="s">
        <v>7</v>
      </c>
      <c r="M2" s="22" t="s">
        <v>9</v>
      </c>
      <c r="N2" s="20" t="s">
        <v>6</v>
      </c>
      <c r="O2" s="21" t="s">
        <v>7</v>
      </c>
      <c r="P2" s="22" t="s">
        <v>9</v>
      </c>
    </row>
    <row r="3" spans="1:16" ht="15.75" thickTop="1" x14ac:dyDescent="0.25">
      <c r="A3" s="3" t="s">
        <v>1</v>
      </c>
      <c r="B3" s="4">
        <v>12887932</v>
      </c>
      <c r="C3" s="5">
        <v>1263017.3400000001</v>
      </c>
      <c r="D3" s="6">
        <f>C3*75%</f>
        <v>947263.00500000012</v>
      </c>
      <c r="E3" s="4">
        <v>31853123</v>
      </c>
      <c r="F3" s="5">
        <v>3121606.05</v>
      </c>
      <c r="G3" s="6">
        <f>F3*75%</f>
        <v>2341204.5374999996</v>
      </c>
      <c r="H3" s="4">
        <v>36940658</v>
      </c>
      <c r="I3" s="5">
        <v>3620184.48</v>
      </c>
      <c r="J3" s="6">
        <f>I3*75%</f>
        <v>2715138.36</v>
      </c>
      <c r="K3" s="4">
        <v>29210920</v>
      </c>
      <c r="L3" s="5">
        <v>2862670.16</v>
      </c>
      <c r="M3" s="6">
        <f>L3*75%</f>
        <v>2147002.62</v>
      </c>
      <c r="N3" s="4">
        <v>30291904.219999999</v>
      </c>
      <c r="O3" s="5">
        <v>2968606.61</v>
      </c>
      <c r="P3" s="6">
        <f>O3*75%</f>
        <v>2226454.9575</v>
      </c>
    </row>
    <row r="4" spans="1:16" x14ac:dyDescent="0.25">
      <c r="A4" s="7" t="s">
        <v>2</v>
      </c>
      <c r="B4" s="4">
        <v>16479024</v>
      </c>
      <c r="C4" s="5">
        <v>1614944.35</v>
      </c>
      <c r="D4" s="6">
        <f>C4*75%</f>
        <v>1211208.2625000002</v>
      </c>
      <c r="E4" s="4">
        <v>32097914</v>
      </c>
      <c r="F4" s="5">
        <v>3145595.57</v>
      </c>
      <c r="G4" s="6">
        <f>F4*75%</f>
        <v>2359196.6774999998</v>
      </c>
      <c r="H4" s="4">
        <v>19664907</v>
      </c>
      <c r="I4" s="5">
        <v>1927160.89</v>
      </c>
      <c r="J4" s="6">
        <f>I4*75%</f>
        <v>1445370.6675</v>
      </c>
      <c r="K4" s="4">
        <v>16479743</v>
      </c>
      <c r="L4" s="5">
        <v>1615014.81</v>
      </c>
      <c r="M4" s="6">
        <f>L4*75%</f>
        <v>1211261.1074999999</v>
      </c>
      <c r="N4" s="4">
        <v>28138357.920000002</v>
      </c>
      <c r="O4" s="5">
        <v>2757559.0761600002</v>
      </c>
      <c r="P4" s="6">
        <f>O4*75%</f>
        <v>2068169.30712</v>
      </c>
    </row>
    <row r="5" spans="1:16" s="12" customFormat="1" x14ac:dyDescent="0.25">
      <c r="A5" s="8" t="s">
        <v>4</v>
      </c>
      <c r="B5" s="9">
        <f>B3+B4</f>
        <v>29366956</v>
      </c>
      <c r="C5" s="10">
        <f t="shared" ref="C5:D5" si="0">C3+C4</f>
        <v>2877961.6900000004</v>
      </c>
      <c r="D5" s="11">
        <f t="shared" si="0"/>
        <v>2158471.2675000001</v>
      </c>
      <c r="E5" s="9">
        <f t="shared" ref="E5:O5" si="1">E3+E4</f>
        <v>63951037</v>
      </c>
      <c r="F5" s="10">
        <f t="shared" si="1"/>
        <v>6267201.6199999992</v>
      </c>
      <c r="G5" s="11">
        <f t="shared" si="1"/>
        <v>4700401.2149999999</v>
      </c>
      <c r="H5" s="9">
        <f t="shared" si="1"/>
        <v>56605565</v>
      </c>
      <c r="I5" s="10">
        <f t="shared" si="1"/>
        <v>5547345.3700000001</v>
      </c>
      <c r="J5" s="11">
        <f t="shared" ref="J5" si="2">J3+J4</f>
        <v>4160509.0274999999</v>
      </c>
      <c r="K5" s="9">
        <f t="shared" si="1"/>
        <v>45690663</v>
      </c>
      <c r="L5" s="10">
        <f t="shared" si="1"/>
        <v>4477684.9700000007</v>
      </c>
      <c r="M5" s="11">
        <f t="shared" si="1"/>
        <v>3358263.7275</v>
      </c>
      <c r="N5" s="9">
        <f t="shared" si="1"/>
        <v>58430262.140000001</v>
      </c>
      <c r="O5" s="10">
        <f t="shared" si="1"/>
        <v>5726165.68616</v>
      </c>
      <c r="P5" s="11">
        <f t="shared" ref="P5" si="3">P3+P4</f>
        <v>4294624.2646200005</v>
      </c>
    </row>
    <row r="6" spans="1:16" x14ac:dyDescent="0.25">
      <c r="A6" s="7" t="s">
        <v>3</v>
      </c>
      <c r="B6" s="13">
        <v>45942350</v>
      </c>
      <c r="C6" s="14">
        <v>4502350.3</v>
      </c>
      <c r="D6" s="6">
        <f>C6*75%</f>
        <v>3376762.7249999996</v>
      </c>
      <c r="E6" s="13">
        <v>47079305</v>
      </c>
      <c r="F6" s="14">
        <v>4613771.8899999997</v>
      </c>
      <c r="G6" s="6">
        <f>F6*75%</f>
        <v>3460328.9174999995</v>
      </c>
      <c r="H6" s="13">
        <v>41852237</v>
      </c>
      <c r="I6" s="14">
        <v>4101519.23</v>
      </c>
      <c r="J6" s="6">
        <f>I6*75%</f>
        <v>3076139.4224999999</v>
      </c>
      <c r="K6" s="13">
        <v>46507677</v>
      </c>
      <c r="L6" s="14">
        <v>4557752.3499999996</v>
      </c>
      <c r="M6" s="6">
        <f>L6*75%</f>
        <v>3418314.2624999997</v>
      </c>
      <c r="N6" s="13">
        <v>45293788.350000001</v>
      </c>
      <c r="O6" s="14">
        <v>4438791.3</v>
      </c>
      <c r="P6" s="6">
        <f>O6*75%</f>
        <v>3329093.4749999996</v>
      </c>
    </row>
    <row r="7" spans="1:16" x14ac:dyDescent="0.25">
      <c r="A7" s="7" t="s">
        <v>10</v>
      </c>
      <c r="B7" s="13">
        <v>8563262</v>
      </c>
      <c r="C7" s="14">
        <v>839199.68</v>
      </c>
      <c r="D7" s="6">
        <f>C7*75%</f>
        <v>629399.76</v>
      </c>
      <c r="E7" s="13">
        <v>39011551</v>
      </c>
      <c r="F7" s="14">
        <v>3823132</v>
      </c>
      <c r="G7" s="6">
        <f>F7*75%</f>
        <v>2867349</v>
      </c>
      <c r="H7" s="13">
        <v>38877713</v>
      </c>
      <c r="I7" s="14">
        <v>3810015.87</v>
      </c>
      <c r="J7" s="6">
        <f>I7*75%</f>
        <v>2857511.9024999999</v>
      </c>
      <c r="K7" s="13">
        <v>41436227</v>
      </c>
      <c r="L7" s="14">
        <v>4060750.25</v>
      </c>
      <c r="M7" s="6">
        <f>L7*75%</f>
        <v>3045562.6875</v>
      </c>
      <c r="N7" s="13">
        <v>34130359.109999999</v>
      </c>
      <c r="O7" s="14">
        <v>3344775.19</v>
      </c>
      <c r="P7" s="6">
        <f>O7*75%</f>
        <v>2508581.3925000001</v>
      </c>
    </row>
    <row r="8" spans="1:16" s="12" customFormat="1" x14ac:dyDescent="0.25">
      <c r="A8" s="8" t="s">
        <v>5</v>
      </c>
      <c r="B8" s="9">
        <f>B6+B7</f>
        <v>54505612</v>
      </c>
      <c r="C8" s="10">
        <f t="shared" ref="C8:D8" si="4">C6+C7</f>
        <v>5341549.9799999995</v>
      </c>
      <c r="D8" s="11">
        <f t="shared" si="4"/>
        <v>4006162.4849999994</v>
      </c>
      <c r="E8" s="9">
        <v>86090856</v>
      </c>
      <c r="F8" s="10">
        <v>8436903.8900000006</v>
      </c>
      <c r="G8" s="11">
        <f t="shared" ref="G8" si="5">G6+G7</f>
        <v>6327677.9174999995</v>
      </c>
      <c r="H8" s="9">
        <v>80729950</v>
      </c>
      <c r="I8" s="10">
        <v>7911535.0999999996</v>
      </c>
      <c r="J8" s="11">
        <f t="shared" ref="J8" si="6">J6+J7</f>
        <v>5933651.3249999993</v>
      </c>
      <c r="K8" s="9">
        <v>87943904</v>
      </c>
      <c r="L8" s="10">
        <v>8618502.5899999999</v>
      </c>
      <c r="M8" s="11">
        <f t="shared" ref="M8" si="7">M6+M7</f>
        <v>6463876.9499999993</v>
      </c>
      <c r="N8" s="9">
        <f t="shared" ref="N8:P8" si="8">N6+N7</f>
        <v>79424147.460000008</v>
      </c>
      <c r="O8" s="10">
        <f t="shared" si="8"/>
        <v>7783566.4900000002</v>
      </c>
      <c r="P8" s="11">
        <f t="shared" si="8"/>
        <v>5837674.8674999997</v>
      </c>
    </row>
    <row r="9" spans="1:16" s="12" customFormat="1" ht="15.75" thickBot="1" x14ac:dyDescent="0.3">
      <c r="A9" s="15" t="s">
        <v>8</v>
      </c>
      <c r="B9" s="16">
        <f>B5+B8</f>
        <v>83872568</v>
      </c>
      <c r="C9" s="17">
        <f t="shared" ref="C9:D9" si="9">C5+C8</f>
        <v>8219511.6699999999</v>
      </c>
      <c r="D9" s="18">
        <f t="shared" si="9"/>
        <v>6164633.7524999995</v>
      </c>
      <c r="E9" s="16">
        <f t="shared" ref="E9:O9" si="10">E8+E5</f>
        <v>150041893</v>
      </c>
      <c r="F9" s="17">
        <f t="shared" si="10"/>
        <v>14704105.51</v>
      </c>
      <c r="G9" s="18">
        <f t="shared" ref="G9" si="11">G5+G8</f>
        <v>11028079.1325</v>
      </c>
      <c r="H9" s="16">
        <f t="shared" si="10"/>
        <v>137335515</v>
      </c>
      <c r="I9" s="17">
        <f t="shared" si="10"/>
        <v>13458880.469999999</v>
      </c>
      <c r="J9" s="18">
        <f t="shared" ref="J9" si="12">J5+J8</f>
        <v>10094160.352499999</v>
      </c>
      <c r="K9" s="16">
        <f t="shared" si="10"/>
        <v>133634567</v>
      </c>
      <c r="L9" s="17">
        <f t="shared" si="10"/>
        <v>13096187.560000001</v>
      </c>
      <c r="M9" s="18">
        <f t="shared" ref="M9" si="13">M5+M8</f>
        <v>9822140.6774999984</v>
      </c>
      <c r="N9" s="16">
        <f t="shared" si="10"/>
        <v>137854409.60000002</v>
      </c>
      <c r="O9" s="17">
        <f t="shared" si="10"/>
        <v>13509732.17616</v>
      </c>
      <c r="P9" s="18">
        <f t="shared" ref="P9" si="14">P5+P8</f>
        <v>10132299.13212</v>
      </c>
    </row>
    <row r="10" spans="1:16" ht="15.75" thickTop="1" x14ac:dyDescent="0.25"/>
  </sheetData>
  <mergeCells count="6">
    <mergeCell ref="N1:P1"/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f92e1d-991c-464f-9179-61d43b6a733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BE9E5B5340B94A4BBCBE12D9736FDDF3" ma:contentTypeVersion="10" ma:contentTypeDescription="Δημιουργία νέου εγγράφου" ma:contentTypeScope="" ma:versionID="e2824babd45ba78adc2362c8eb973d3e">
  <xsd:schema xmlns:xsd="http://www.w3.org/2001/XMLSchema" xmlns:xs="http://www.w3.org/2001/XMLSchema" xmlns:p="http://schemas.microsoft.com/office/2006/metadata/properties" xmlns:ns3="d9f92e1d-991c-464f-9179-61d43b6a7333" targetNamespace="http://schemas.microsoft.com/office/2006/metadata/properties" ma:root="true" ma:fieldsID="f4654cda6e27c5e70d56c5c977f91af7" ns3:_="">
    <xsd:import namespace="d9f92e1d-991c-464f-9179-61d43b6a73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f92e1d-991c-464f-9179-61d43b6a73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37B530-1DC2-442F-80DC-BC0A21566473}">
  <ds:schemaRefs>
    <ds:schemaRef ds:uri="http://schemas.microsoft.com/office/infopath/2007/PartnerControls"/>
    <ds:schemaRef ds:uri="http://purl.org/dc/terms/"/>
    <ds:schemaRef ds:uri="d9f92e1d-991c-464f-9179-61d43b6a7333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272E94-DC24-40E4-AD17-AF1F7DAC12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E44159-CF64-4E62-A071-BBA49481DA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f92e1d-991c-464f-9179-61d43b6a73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Antonis Frantzeskos</dc:creator>
  <cp:lastModifiedBy>Antonis Frantzeskos</cp:lastModifiedBy>
  <dcterms:created xsi:type="dcterms:W3CDTF">2026-03-06T11:06:32Z</dcterms:created>
  <dcterms:modified xsi:type="dcterms:W3CDTF">2026-03-09T09:50:00Z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0x010100BE9E5B5340B94A4BBCBE12D9736FDDF3</vt:lpwstr>
  </property>
</Properties>
</file>